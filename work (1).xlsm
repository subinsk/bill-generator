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59D0909F-D0ED-4F45-B423-3A1373D0AEAA}" xr6:coauthVersionLast="47" xr6:coauthVersionMax="47" xr10:uidLastSave="{00000000-0000-0000-0000-000000000000}"/>
  <bookViews>
    <workbookView xWindow="-110" yWindow="-110" windowWidth="19420" windowHeight="11020" xr2:uid="{00000000-000D-0000-FFFF-FFFF00000000}"/>
  </bookViews>
  <sheets>
    <sheet name="Table 1" sheetId="1" r:id="rId1"/>
  </sheets>
  <functionGroups builtInGroupCount="19"/>
  <definedNames>
    <definedName name="_xlpm.rates" hidden="1" xlm="1">#NAME?</definedName>
    <definedName name="_xlpm.taxabl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4" i="1" l="1"/>
  <c r="R13" i="1"/>
  <c r="C19" i="1"/>
  <c r="D19" i="1"/>
  <c r="E19" i="1"/>
  <c r="B19" i="1"/>
  <c r="A16" i="1" a="1"/>
  <c r="A16" i="1" s="1"/>
  <c r="C16" i="1" s="1" a="1"/>
  <c r="C16" i="1" s="1"/>
  <c r="G14" i="1"/>
  <c r="R12" i="1"/>
  <c r="J7" i="1"/>
  <c r="J8" i="1"/>
  <c r="J9" i="1"/>
  <c r="J10" i="1"/>
  <c r="J11" i="1"/>
  <c r="J6" i="1"/>
  <c r="K7" i="1"/>
  <c r="K8" i="1"/>
  <c r="K9" i="1"/>
  <c r="K10" i="1"/>
  <c r="K11" i="1"/>
  <c r="K6" i="1"/>
  <c r="B17" i="1" l="1" a="1"/>
  <c r="B17" i="1" s="1"/>
  <c r="B18" i="1" a="1"/>
  <c r="B18" i="1" s="1"/>
  <c r="B16" i="1" a="1"/>
  <c r="B16" i="1" s="1"/>
  <c r="D16" i="1" a="1"/>
  <c r="D16" i="1" s="1"/>
  <c r="E16" i="1" s="1"/>
  <c r="D18" i="1" a="1"/>
  <c r="D18" i="1" s="1"/>
  <c r="C18" i="1" a="1"/>
  <c r="C18" i="1" s="1"/>
  <c r="D17" i="1" a="1"/>
  <c r="D17" i="1" s="1"/>
  <c r="C17" i="1" a="1"/>
  <c r="C17" i="1" s="1"/>
  <c r="E17" i="1" s="1"/>
  <c r="A20" i="1" a="1"/>
  <c r="A20" i="1" l="1"/>
  <c r="E18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<sst xmlns="http://schemas.openxmlformats.org/spreadsheetml/2006/main" count="53" uniqueCount="47">
  <si>
    <r>
      <rPr>
        <b/>
        <sz val="10"/>
        <rFont val="Tahoma"/>
        <family val="2"/>
      </rPr>
      <t xml:space="preserve">GSTIN   :   08CBWPM6776L2ZE                                                                                                                  </t>
    </r>
    <r>
      <rPr>
        <i/>
        <sz val="10"/>
        <rFont val="Arial"/>
        <family val="2"/>
      </rPr>
      <t xml:space="preserve">Original Copy
</t>
    </r>
    <r>
      <rPr>
        <b/>
        <u/>
        <sz val="11"/>
        <rFont val="Tahoma"/>
        <family val="2"/>
      </rPr>
      <t xml:space="preserve"> TAX INVOICE  
</t>
    </r>
    <r>
      <rPr>
        <b/>
        <sz val="18"/>
        <rFont val="Tahoma"/>
        <family val="2"/>
      </rPr>
      <t xml:space="preserve">ASHAPURA CONSTRUCTIONS
</t>
    </r>
    <r>
      <rPr>
        <sz val="10"/>
        <rFont val="Tahoma"/>
        <family val="2"/>
      </rPr>
      <t xml:space="preserve">HANUMAN SHALA SCHOOL KE SAMNE, AHORE
</t>
    </r>
    <r>
      <rPr>
        <sz val="10"/>
        <rFont val="Tahoma"/>
        <family val="2"/>
      </rPr>
      <t>PAN : CBWPM6776L</t>
    </r>
  </si>
  <si>
    <r>
      <rPr>
        <sz val="10"/>
        <rFont val="Tahoma"/>
        <family val="2"/>
      </rPr>
      <t>Invoice No.</t>
    </r>
  </si>
  <si>
    <r>
      <rPr>
        <sz val="10"/>
        <rFont val="Tahoma"/>
        <family val="2"/>
      </rPr>
      <t>:</t>
    </r>
  </si>
  <si>
    <r>
      <rPr>
        <sz val="10"/>
        <rFont val="Tahoma"/>
        <family val="2"/>
      </rPr>
      <t>24-25/01</t>
    </r>
  </si>
  <si>
    <r>
      <rPr>
        <sz val="10"/>
        <rFont val="Tahoma"/>
        <family val="2"/>
      </rPr>
      <t>Place of Supply</t>
    </r>
  </si>
  <si>
    <r>
      <rPr>
        <sz val="10"/>
        <rFont val="Tahoma"/>
        <family val="2"/>
      </rPr>
      <t>Rajasthan (08)</t>
    </r>
  </si>
  <si>
    <r>
      <rPr>
        <sz val="10"/>
        <rFont val="Tahoma"/>
        <family val="2"/>
      </rPr>
      <t>Dated</t>
    </r>
  </si>
  <si>
    <r>
      <rPr>
        <sz val="10"/>
        <rFont val="Tahoma"/>
        <family val="2"/>
      </rPr>
      <t>Reverse Charge</t>
    </r>
  </si>
  <si>
    <r>
      <rPr>
        <sz val="10"/>
        <rFont val="Tahoma"/>
        <family val="2"/>
      </rPr>
      <t>N</t>
    </r>
  </si>
  <si>
    <r>
      <rPr>
        <b/>
        <i/>
        <sz val="10"/>
        <rFont val="Arial"/>
        <family val="2"/>
      </rPr>
      <t xml:space="preserve">Billed to     :
</t>
    </r>
    <r>
      <rPr>
        <sz val="10"/>
        <rFont val="Tahoma"/>
        <family val="2"/>
      </rPr>
      <t xml:space="preserve">SARPANCH, GRAM PANCHAYAT SHANKHWALI GRAM PANCHAYAT SHANKHWALI
</t>
    </r>
    <r>
      <rPr>
        <sz val="10"/>
        <rFont val="Tahoma"/>
        <family val="2"/>
      </rPr>
      <t>GSTIN / UIN          :</t>
    </r>
  </si>
  <si>
    <r>
      <rPr>
        <b/>
        <i/>
        <sz val="10"/>
        <rFont val="Arial"/>
        <family val="2"/>
      </rPr>
      <t xml:space="preserve">Shipped to  :
</t>
    </r>
    <r>
      <rPr>
        <sz val="10"/>
        <rFont val="Tahoma"/>
        <family val="2"/>
      </rPr>
      <t xml:space="preserve">SARPANCH, GRAM PANCHAYAT SHANKHWALI
</t>
    </r>
    <r>
      <rPr>
        <sz val="10"/>
        <rFont val="Tahoma"/>
        <family val="2"/>
      </rPr>
      <t>GSTIN / UIN          :</t>
    </r>
  </si>
  <si>
    <r>
      <rPr>
        <b/>
        <sz val="7"/>
        <rFont val="Tahoma"/>
        <family val="2"/>
      </rPr>
      <t>S.N</t>
    </r>
    <r>
      <rPr>
        <b/>
        <vertAlign val="subscript"/>
        <sz val="8"/>
        <rFont val="Tahoma"/>
        <family val="2"/>
      </rPr>
      <t>.</t>
    </r>
  </si>
  <si>
    <r>
      <rPr>
        <b/>
        <sz val="8"/>
        <rFont val="Tahoma"/>
        <family val="2"/>
      </rPr>
      <t>Description of Goods</t>
    </r>
  </si>
  <si>
    <r>
      <rPr>
        <b/>
        <sz val="8"/>
        <rFont val="Tahoma"/>
        <family val="2"/>
      </rPr>
      <t xml:space="preserve">HSN/SAC
</t>
    </r>
    <r>
      <rPr>
        <b/>
        <sz val="8"/>
        <rFont val="Tahoma"/>
        <family val="2"/>
      </rPr>
      <t>Code</t>
    </r>
  </si>
  <si>
    <r>
      <rPr>
        <b/>
        <sz val="8"/>
        <rFont val="Tahoma"/>
        <family val="2"/>
      </rPr>
      <t>Qty.</t>
    </r>
  </si>
  <si>
    <r>
      <rPr>
        <b/>
        <sz val="8"/>
        <rFont val="Tahoma"/>
        <family val="2"/>
      </rPr>
      <t>Unit</t>
    </r>
  </si>
  <si>
    <r>
      <rPr>
        <b/>
        <sz val="8"/>
        <rFont val="Tahoma"/>
        <family val="2"/>
      </rPr>
      <t>Price</t>
    </r>
  </si>
  <si>
    <r>
      <rPr>
        <b/>
        <sz val="8"/>
        <rFont val="Tahoma"/>
        <family val="2"/>
      </rPr>
      <t xml:space="preserve">CGST
</t>
    </r>
    <r>
      <rPr>
        <b/>
        <sz val="8"/>
        <rFont val="Tahoma"/>
        <family val="2"/>
      </rPr>
      <t>Rate</t>
    </r>
  </si>
  <si>
    <r>
      <rPr>
        <b/>
        <sz val="8"/>
        <rFont val="Tahoma"/>
        <family val="2"/>
      </rPr>
      <t xml:space="preserve">CGST
</t>
    </r>
    <r>
      <rPr>
        <b/>
        <sz val="8"/>
        <rFont val="Tahoma"/>
        <family val="2"/>
      </rPr>
      <t>Amount</t>
    </r>
  </si>
  <si>
    <r>
      <rPr>
        <b/>
        <sz val="8"/>
        <rFont val="Tahoma"/>
        <family val="2"/>
      </rPr>
      <t xml:space="preserve">SGST
</t>
    </r>
    <r>
      <rPr>
        <b/>
        <sz val="8"/>
        <rFont val="Tahoma"/>
        <family val="2"/>
      </rPr>
      <t>Rate</t>
    </r>
  </si>
  <si>
    <r>
      <rPr>
        <b/>
        <sz val="8"/>
        <rFont val="Tahoma"/>
        <family val="2"/>
      </rPr>
      <t xml:space="preserve">SGST
</t>
    </r>
    <r>
      <rPr>
        <b/>
        <sz val="8"/>
        <rFont val="Tahoma"/>
        <family val="2"/>
      </rPr>
      <t>Amount</t>
    </r>
  </si>
  <si>
    <r>
      <rPr>
        <b/>
        <sz val="8"/>
        <rFont val="Tahoma"/>
        <family val="2"/>
      </rPr>
      <t>Amount(</t>
    </r>
    <r>
      <rPr>
        <b/>
        <vertAlign val="superscript"/>
        <sz val="7"/>
        <rFont val="Arial"/>
        <family val="2"/>
      </rPr>
      <t xml:space="preserve">` </t>
    </r>
    <r>
      <rPr>
        <b/>
        <sz val="8"/>
        <rFont val="Tahoma"/>
        <family val="2"/>
      </rPr>
      <t>)</t>
    </r>
  </si>
  <si>
    <r>
      <rPr>
        <sz val="8"/>
        <rFont val="Tahoma"/>
        <family val="2"/>
      </rPr>
      <t>40 MM CONCRETE</t>
    </r>
  </si>
  <si>
    <r>
      <rPr>
        <sz val="8"/>
        <rFont val="Tahoma"/>
        <family val="2"/>
      </rPr>
      <t>CB. MTR</t>
    </r>
  </si>
  <si>
    <r>
      <rPr>
        <sz val="8"/>
        <rFont val="Tahoma"/>
        <family val="2"/>
      </rPr>
      <t>BAZARI</t>
    </r>
  </si>
  <si>
    <r>
      <rPr>
        <sz val="8"/>
        <rFont val="Tahoma"/>
        <family val="2"/>
      </rPr>
      <t>CEMENT</t>
    </r>
  </si>
  <si>
    <r>
      <rPr>
        <sz val="8"/>
        <rFont val="Tahoma"/>
        <family val="2"/>
      </rPr>
      <t>BAG</t>
    </r>
  </si>
  <si>
    <r>
      <rPr>
        <sz val="8"/>
        <rFont val="Tahoma"/>
        <family val="2"/>
      </rPr>
      <t>STONE</t>
    </r>
  </si>
  <si>
    <r>
      <rPr>
        <sz val="8"/>
        <rFont val="Tahoma"/>
        <family val="2"/>
      </rPr>
      <t>RAJNAGAR MARBEL II ND QTY</t>
    </r>
  </si>
  <si>
    <r>
      <rPr>
        <sz val="8"/>
        <rFont val="Tahoma"/>
        <family val="2"/>
      </rPr>
      <t>SQ.M</t>
    </r>
  </si>
  <si>
    <r>
      <rPr>
        <sz val="8"/>
        <rFont val="Tahoma"/>
        <family val="2"/>
      </rPr>
      <t>MITHHI</t>
    </r>
  </si>
  <si>
    <r>
      <rPr>
        <i/>
        <sz val="8"/>
        <rFont val="Arial"/>
        <family val="2"/>
      </rPr>
      <t>Less   :  BSR -1.80 % BELOW</t>
    </r>
  </si>
  <si>
    <r>
      <rPr>
        <b/>
        <sz val="8"/>
        <rFont val="Tahoma"/>
        <family val="2"/>
      </rPr>
      <t>Grand Total</t>
    </r>
  </si>
  <si>
    <r>
      <rPr>
        <b/>
        <sz val="8"/>
        <rFont val="Tahoma"/>
        <family val="2"/>
      </rPr>
      <t>Units</t>
    </r>
  </si>
  <si>
    <r>
      <rPr>
        <b/>
        <sz val="10"/>
        <rFont val="Arial"/>
        <family val="2"/>
      </rPr>
      <t>`</t>
    </r>
  </si>
  <si>
    <r>
      <rPr>
        <b/>
        <sz val="10"/>
        <rFont val="Tahoma"/>
        <family val="2"/>
      </rPr>
      <t xml:space="preserve">Bank Details  :   </t>
    </r>
    <r>
      <rPr>
        <sz val="10"/>
        <rFont val="Tahoma"/>
        <family val="2"/>
      </rPr>
      <t xml:space="preserve">RMGB CA AC NO. 83060414866
</t>
    </r>
    <r>
      <rPr>
        <sz val="10"/>
        <rFont val="Tahoma"/>
        <family val="2"/>
      </rPr>
      <t>RMGB0000103 RMGB AHORE</t>
    </r>
  </si>
  <si>
    <r>
      <rPr>
        <b/>
        <sz val="7"/>
        <rFont val="Tahoma"/>
        <family val="2"/>
      </rPr>
      <t xml:space="preserve">Terms &amp; Conditions
</t>
    </r>
    <r>
      <rPr>
        <sz val="8"/>
        <rFont val="Tahoma"/>
        <family val="2"/>
      </rPr>
      <t xml:space="preserve">E.&amp; O.E.
</t>
    </r>
    <r>
      <rPr>
        <sz val="8"/>
        <rFont val="Tahoma"/>
        <family val="2"/>
      </rPr>
      <t xml:space="preserve">1. Goods once sold will not be taken back.
</t>
    </r>
    <r>
      <rPr>
        <sz val="8"/>
        <rFont val="Tahoma"/>
        <family val="2"/>
      </rPr>
      <t xml:space="preserve">2. Interest @ 18% p.a. will be charged if the payment is not made with in the stipulated time.
</t>
    </r>
    <r>
      <rPr>
        <sz val="8"/>
        <rFont val="Tahoma"/>
        <family val="2"/>
      </rPr>
      <t>3. Subject to 'JALORE' Jurisdiction only.</t>
    </r>
  </si>
  <si>
    <r>
      <rPr>
        <b/>
        <sz val="7"/>
        <rFont val="Tahoma"/>
        <family val="2"/>
      </rPr>
      <t xml:space="preserve">Receiver's Signature     </t>
    </r>
    <r>
      <rPr>
        <b/>
        <vertAlign val="subscript"/>
        <sz val="8"/>
        <rFont val="Tahoma"/>
        <family val="2"/>
      </rPr>
      <t>:</t>
    </r>
  </si>
  <si>
    <r>
      <rPr>
        <b/>
        <sz val="10"/>
        <rFont val="Tahoma"/>
        <family val="2"/>
      </rPr>
      <t xml:space="preserve">for ASHAPURA CONSTRUCTIONS
</t>
    </r>
    <r>
      <rPr>
        <b/>
        <sz val="10"/>
        <rFont val="Tahoma"/>
        <family val="2"/>
      </rPr>
      <t>Authorised Signatory</t>
    </r>
  </si>
  <si>
    <t>Rate</t>
  </si>
  <si>
    <t>Taxable Amt.</t>
  </si>
  <si>
    <t>CGST Amt.</t>
  </si>
  <si>
    <t>SGST Amt.</t>
  </si>
  <si>
    <t>Total Tax</t>
  </si>
  <si>
    <t>Tax Rate</t>
  </si>
  <si>
    <t>Total</t>
  </si>
  <si>
    <t>@ O12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</si>
</sst>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\-dd\-yyyy;@"/>
    <numFmt numFmtId="165" formatCode="0."/>
  </numFmts>
  <fonts count="25" x14ac:knownFonts="1">
    <font>
      <sz val="10"/>
      <color rgb="FF000000"/>
      <name val="Times New Roman"/>
      <charset val="204"/>
    </font>
    <font>
      <sz val="10"/>
      <name val="Tahoma"/>
    </font>
    <font>
      <sz val="10"/>
      <color rgb="FF000000"/>
      <name val="Tahoma"/>
      <family val="2"/>
    </font>
    <font>
      <b/>
      <sz val="8"/>
      <name val="Tahoma"/>
    </font>
    <font>
      <sz val="8"/>
      <color rgb="FF000000"/>
      <name val="Tahoma"/>
      <family val="2"/>
    </font>
    <font>
      <sz val="8"/>
      <name val="Tahoma"/>
    </font>
    <font>
      <sz val="7"/>
      <color rgb="FF000000"/>
      <name val="Tahoma"/>
      <family val="2"/>
    </font>
    <font>
      <i/>
      <sz val="8"/>
      <name val="Arial"/>
    </font>
    <font>
      <b/>
      <sz val="8"/>
      <color rgb="FF000000"/>
      <name val="Tahoma"/>
      <family val="2"/>
    </font>
    <font>
      <b/>
      <sz val="10"/>
      <name val="Arial"/>
    </font>
    <font>
      <b/>
      <sz val="10"/>
      <name val="Tahoma"/>
      <family val="2"/>
    </font>
    <font>
      <i/>
      <sz val="10"/>
      <name val="Arial"/>
      <family val="2"/>
    </font>
    <font>
      <b/>
      <u/>
      <sz val="11"/>
      <name val="Tahoma"/>
      <family val="2"/>
    </font>
    <font>
      <b/>
      <sz val="18"/>
      <name val="Tahoma"/>
      <family val="2"/>
    </font>
    <font>
      <sz val="10"/>
      <name val="Tahoma"/>
      <family val="2"/>
    </font>
    <font>
      <b/>
      <i/>
      <sz val="10"/>
      <name val="Arial"/>
      <family val="2"/>
    </font>
    <font>
      <b/>
      <sz val="7"/>
      <name val="Tahoma"/>
      <family val="2"/>
    </font>
    <font>
      <b/>
      <vertAlign val="subscript"/>
      <sz val="8"/>
      <name val="Tahoma"/>
      <family val="2"/>
    </font>
    <font>
      <b/>
      <sz val="8"/>
      <name val="Tahoma"/>
      <family val="2"/>
    </font>
    <font>
      <b/>
      <vertAlign val="superscript"/>
      <sz val="7"/>
      <name val="Arial"/>
      <family val="2"/>
    </font>
    <font>
      <sz val="8"/>
      <name val="Tahoma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</borders>
  <cellStyleXfs count="1">
    <xf numFmtId="0" fontId="0" fillId="0" borderId="0"/>
  </cellStyleXfs>
  <cellXfs count="114">
    <xf numFmtId="0" fontId="0" fillId="0" borderId="0" xfId="0" applyAlignment="1">
      <alignment horizontal="left" vertical="top"/>
    </xf>
    <xf numFmtId="0" fontId="1" fillId="0" borderId="6" xfId="0" applyFont="1" applyBorder="1" applyAlignment="1">
      <alignment horizontal="left" vertical="top" wrapText="1"/>
    </xf>
    <xf numFmtId="0" fontId="1" fillId="0" borderId="6" xfId="0" applyFont="1" applyBorder="1" applyAlignment="1">
      <alignment horizontal="right" vertical="top" wrapText="1"/>
    </xf>
    <xf numFmtId="0" fontId="0" fillId="0" borderId="6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1" fillId="0" borderId="6" xfId="0" applyFont="1" applyBorder="1" applyAlignment="1">
      <alignment horizontal="center" vertical="top" wrapText="1"/>
    </xf>
    <xf numFmtId="0" fontId="1" fillId="0" borderId="9" xfId="0" applyFont="1" applyBorder="1" applyAlignment="1">
      <alignment horizontal="right" vertical="top" wrapText="1"/>
    </xf>
    <xf numFmtId="164" fontId="2" fillId="0" borderId="9" xfId="0" applyNumberFormat="1" applyFont="1" applyBorder="1" applyAlignment="1">
      <alignment horizontal="left" vertical="top" shrinkToFit="1"/>
    </xf>
    <xf numFmtId="0" fontId="0" fillId="0" borderId="9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1" fillId="0" borderId="9" xfId="0" applyFon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1" xfId="0" applyBorder="1" applyAlignment="1">
      <alignment horizontal="right" vertical="top" wrapText="1"/>
    </xf>
    <xf numFmtId="0" fontId="3" fillId="0" borderId="4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right" vertical="top" wrapText="1"/>
    </xf>
    <xf numFmtId="0" fontId="0" fillId="0" borderId="1" xfId="0" applyBorder="1" applyAlignment="1">
      <alignment horizontal="left" vertical="top" wrapText="1" indent="1"/>
    </xf>
    <xf numFmtId="165" fontId="4" fillId="0" borderId="11" xfId="0" applyNumberFormat="1" applyFont="1" applyBorder="1" applyAlignment="1">
      <alignment horizontal="right" vertical="top" shrinkToFit="1"/>
    </xf>
    <xf numFmtId="0" fontId="5" fillId="0" borderId="7" xfId="0" applyFont="1" applyBorder="1" applyAlignment="1">
      <alignment horizontal="left" vertical="top" wrapText="1"/>
    </xf>
    <xf numFmtId="2" fontId="4" fillId="0" borderId="11" xfId="0" applyNumberFormat="1" applyFont="1" applyBorder="1" applyAlignment="1">
      <alignment horizontal="right" vertical="top" shrinkToFit="1"/>
    </xf>
    <xf numFmtId="4" fontId="4" fillId="0" borderId="11" xfId="0" applyNumberFormat="1" applyFont="1" applyBorder="1" applyAlignment="1">
      <alignment horizontal="right" vertical="top" indent="1" shrinkToFit="1"/>
    </xf>
    <xf numFmtId="165" fontId="4" fillId="0" borderId="12" xfId="0" applyNumberFormat="1" applyFont="1" applyBorder="1" applyAlignment="1">
      <alignment horizontal="right" vertical="top" shrinkToFit="1"/>
    </xf>
    <xf numFmtId="2" fontId="4" fillId="0" borderId="12" xfId="0" applyNumberFormat="1" applyFont="1" applyBorder="1" applyAlignment="1">
      <alignment horizontal="right" vertical="top" shrinkToFit="1"/>
    </xf>
    <xf numFmtId="4" fontId="4" fillId="0" borderId="12" xfId="0" applyNumberFormat="1" applyFont="1" applyBorder="1" applyAlignment="1">
      <alignment horizontal="right" vertical="top" indent="1" shrinkToFit="1"/>
    </xf>
    <xf numFmtId="4" fontId="4" fillId="0" borderId="12" xfId="0" applyNumberFormat="1" applyFont="1" applyBorder="1" applyAlignment="1">
      <alignment horizontal="right" vertical="top" shrinkToFit="1"/>
    </xf>
    <xf numFmtId="165" fontId="4" fillId="0" borderId="13" xfId="0" applyNumberFormat="1" applyFont="1" applyBorder="1" applyAlignment="1">
      <alignment horizontal="right" vertical="top" shrinkToFit="1"/>
    </xf>
    <xf numFmtId="2" fontId="4" fillId="0" borderId="13" xfId="0" applyNumberFormat="1" applyFont="1" applyBorder="1" applyAlignment="1">
      <alignment horizontal="right" vertical="top" shrinkToFit="1"/>
    </xf>
    <xf numFmtId="2" fontId="4" fillId="0" borderId="13" xfId="0" applyNumberFormat="1" applyFont="1" applyBorder="1" applyAlignment="1">
      <alignment horizontal="right" vertical="top" indent="1" shrinkToFit="1"/>
    </xf>
    <xf numFmtId="2" fontId="8" fillId="0" borderId="6" xfId="0" applyNumberFormat="1" applyFont="1" applyBorder="1" applyAlignment="1">
      <alignment horizontal="right" vertical="top" shrinkToFit="1"/>
    </xf>
    <xf numFmtId="0" fontId="9" fillId="0" borderId="7" xfId="0" applyFont="1" applyBorder="1" applyAlignment="1">
      <alignment horizontal="left" vertical="top" wrapText="1"/>
    </xf>
    <xf numFmtId="4" fontId="8" fillId="0" borderId="1" xfId="0" applyNumberFormat="1" applyFont="1" applyBorder="1" applyAlignment="1">
      <alignment horizontal="right" vertical="top" indent="1" shrinkToFi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6" xfId="0" applyFont="1" applyBorder="1" applyAlignment="1">
      <alignment horizontal="left" vertical="top" wrapText="1"/>
    </xf>
    <xf numFmtId="0" fontId="0" fillId="0" borderId="6" xfId="0" applyBorder="1" applyAlignment="1">
      <alignment horizontal="left" vertical="center" wrapText="1"/>
    </xf>
    <xf numFmtId="0" fontId="1" fillId="0" borderId="8" xfId="0" applyFont="1" applyBorder="1" applyAlignment="1">
      <alignment horizontal="left" vertical="top" wrapText="1"/>
    </xf>
    <xf numFmtId="0" fontId="1" fillId="0" borderId="9" xfId="0" applyFont="1" applyBorder="1" applyAlignment="1">
      <alignment horizontal="left" vertical="top" wrapText="1"/>
    </xf>
    <xf numFmtId="0" fontId="0" fillId="0" borderId="9" xfId="0" applyBorder="1" applyAlignment="1">
      <alignment horizontal="left" vertical="center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3" fillId="0" borderId="2" xfId="0" applyFont="1" applyBorder="1" applyAlignment="1">
      <alignment horizontal="left" vertical="top" wrapText="1"/>
    </xf>
    <xf numFmtId="0" fontId="3" fillId="0" borderId="3" xfId="0" applyFont="1" applyBorder="1" applyAlignment="1">
      <alignment horizontal="left" vertical="top" wrapText="1"/>
    </xf>
    <xf numFmtId="0" fontId="3" fillId="0" borderId="4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5" fillId="0" borderId="5" xfId="0" applyFont="1" applyBorder="1" applyAlignment="1">
      <alignment horizontal="left"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2" fontId="4" fillId="0" borderId="5" xfId="0" applyNumberFormat="1" applyFont="1" applyBorder="1" applyAlignment="1">
      <alignment horizontal="left" vertical="top" indent="2" shrinkToFit="1"/>
    </xf>
    <xf numFmtId="2" fontId="4" fillId="0" borderId="7" xfId="0" applyNumberFormat="1" applyFont="1" applyBorder="1" applyAlignment="1">
      <alignment horizontal="left" vertical="top" indent="2" shrinkToFit="1"/>
    </xf>
    <xf numFmtId="0" fontId="5" fillId="0" borderId="14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2" fontId="4" fillId="0" borderId="14" xfId="0" applyNumberFormat="1" applyFont="1" applyBorder="1" applyAlignment="1">
      <alignment horizontal="left" vertical="top" indent="2" shrinkToFit="1"/>
    </xf>
    <xf numFmtId="2" fontId="4" fillId="0" borderId="15" xfId="0" applyNumberFormat="1" applyFont="1" applyBorder="1" applyAlignment="1">
      <alignment horizontal="left" vertical="top" indent="2" shrinkToFit="1"/>
    </xf>
    <xf numFmtId="4" fontId="4" fillId="0" borderId="14" xfId="0" applyNumberFormat="1" applyFont="1" applyBorder="1" applyAlignment="1">
      <alignment horizontal="left" vertical="top" indent="1" shrinkToFit="1"/>
    </xf>
    <xf numFmtId="4" fontId="4" fillId="0" borderId="15" xfId="0" applyNumberFormat="1" applyFont="1" applyBorder="1" applyAlignment="1">
      <alignment horizontal="left" vertical="top" indent="1" shrinkToFi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2" fontId="4" fillId="0" borderId="8" xfId="0" applyNumberFormat="1" applyFont="1" applyBorder="1" applyAlignment="1">
      <alignment horizontal="left" vertical="top" indent="2" shrinkToFit="1"/>
    </xf>
    <xf numFmtId="2" fontId="4" fillId="0" borderId="10" xfId="0" applyNumberFormat="1" applyFont="1" applyBorder="1" applyAlignment="1">
      <alignment horizontal="left" vertical="top" indent="2" shrinkToFit="1"/>
    </xf>
    <xf numFmtId="0" fontId="7" fillId="0" borderId="3" xfId="0" applyFont="1" applyBorder="1" applyAlignment="1">
      <alignment horizontal="left" vertical="top" wrapText="1" indent="2"/>
    </xf>
    <xf numFmtId="0" fontId="0" fillId="0" borderId="5" xfId="0" applyBorder="1" applyAlignment="1">
      <alignment horizontal="left" vertical="center" wrapText="1"/>
    </xf>
    <xf numFmtId="0" fontId="3" fillId="0" borderId="6" xfId="0" applyFont="1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 indent="18"/>
    </xf>
    <xf numFmtId="0" fontId="0" fillId="0" borderId="3" xfId="0" applyBorder="1" applyAlignment="1">
      <alignment horizontal="left" vertical="top" wrapText="1" indent="18"/>
    </xf>
    <xf numFmtId="0" fontId="0" fillId="0" borderId="4" xfId="0" applyBorder="1" applyAlignment="1">
      <alignment horizontal="left" vertical="top" wrapText="1" indent="18"/>
    </xf>
    <xf numFmtId="10" fontId="4" fillId="0" borderId="5" xfId="0" applyNumberFormat="1" applyFont="1" applyBorder="1" applyAlignment="1">
      <alignment horizontal="left" vertical="top" shrinkToFit="1"/>
    </xf>
    <xf numFmtId="10" fontId="4" fillId="0" borderId="7" xfId="0" applyNumberFormat="1" applyFont="1" applyBorder="1" applyAlignment="1">
      <alignment horizontal="left" vertical="top" shrinkToFit="1"/>
    </xf>
    <xf numFmtId="10" fontId="4" fillId="0" borderId="14" xfId="0" applyNumberFormat="1" applyFont="1" applyBorder="1" applyAlignment="1">
      <alignment horizontal="left" vertical="top" shrinkToFit="1"/>
    </xf>
    <xf numFmtId="10" fontId="4" fillId="0" borderId="15" xfId="0" applyNumberFormat="1" applyFont="1" applyBorder="1" applyAlignment="1">
      <alignment horizontal="left" vertical="top" shrinkToFit="1"/>
    </xf>
    <xf numFmtId="10" fontId="6" fillId="0" borderId="14" xfId="0" applyNumberFormat="1" applyFont="1" applyBorder="1" applyAlignment="1">
      <alignment horizontal="left" vertical="top" shrinkToFit="1"/>
    </xf>
    <xf numFmtId="10" fontId="6" fillId="0" borderId="15" xfId="0" applyNumberFormat="1" applyFont="1" applyBorder="1" applyAlignment="1">
      <alignment horizontal="left" vertical="top" shrinkToFit="1"/>
    </xf>
    <xf numFmtId="10" fontId="4" fillId="0" borderId="8" xfId="0" applyNumberFormat="1" applyFont="1" applyBorder="1" applyAlignment="1">
      <alignment horizontal="left" vertical="top" shrinkToFit="1"/>
    </xf>
    <xf numFmtId="10" fontId="4" fillId="0" borderId="10" xfId="0" applyNumberFormat="1" applyFont="1" applyBorder="1" applyAlignment="1">
      <alignment horizontal="left" vertical="top" shrinkToFit="1"/>
    </xf>
    <xf numFmtId="10" fontId="4" fillId="0" borderId="5" xfId="0" applyNumberFormat="1" applyFont="1" applyBorder="1" applyAlignment="1">
      <alignment horizontal="left" vertical="top" shrinkToFit="1"/>
    </xf>
    <xf numFmtId="10" fontId="0" fillId="0" borderId="0" xfId="0" applyNumberFormat="1" applyAlignment="1">
      <alignment horizontal="left" vertical="top"/>
    </xf>
    <xf numFmtId="0" fontId="20" fillId="0" borderId="1" xfId="0" applyFont="1" applyBorder="1" applyAlignment="1">
      <alignment horizontal="right" vertical="top" wrapText="1" indent="1"/>
    </xf>
    <xf numFmtId="0" fontId="7" fillId="0" borderId="3" xfId="0" applyFont="1" applyBorder="1" applyAlignment="1">
      <alignment vertical="top" wrapText="1"/>
    </xf>
    <xf numFmtId="0" fontId="7" fillId="0" borderId="6" xfId="0" applyFont="1" applyBorder="1" applyAlignment="1">
      <alignment horizontal="left" vertical="top" wrapText="1" indent="2"/>
    </xf>
    <xf numFmtId="0" fontId="7" fillId="0" borderId="6" xfId="0" applyFont="1" applyBorder="1" applyAlignment="1">
      <alignment horizontal="left" vertical="top" wrapText="1" indent="6"/>
    </xf>
    <xf numFmtId="4" fontId="18" fillId="0" borderId="1" xfId="0" applyNumberFormat="1" applyFont="1" applyBorder="1" applyAlignment="1">
      <alignment horizontal="right" vertical="top" wrapText="1" indent="1"/>
    </xf>
    <xf numFmtId="0" fontId="23" fillId="0" borderId="0" xfId="0" applyFont="1" applyAlignment="1">
      <alignment horizontal="left" vertical="top"/>
    </xf>
    <xf numFmtId="0" fontId="24" fillId="0" borderId="0" xfId="0" applyFont="1" applyAlignment="1">
      <alignment horizontal="left" vertical="top"/>
    </xf>
    <xf numFmtId="0" fontId="10" fillId="0" borderId="8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0" fillId="0" borderId="10" xfId="0" applyFont="1" applyBorder="1" applyAlignment="1">
      <alignment horizontal="left" vertical="top" wrapText="1"/>
    </xf>
    <xf numFmtId="0" fontId="10" fillId="0" borderId="14" xfId="0" applyFont="1" applyBorder="1" applyAlignment="1">
      <alignment vertical="top" wrapText="1"/>
    </xf>
    <xf numFmtId="0" fontId="24" fillId="0" borderId="0" xfId="0" applyFont="1" applyAlignment="1">
      <alignment vertical="top" wrapText="1"/>
    </xf>
    <xf numFmtId="0" fontId="24" fillId="0" borderId="15" xfId="0" applyFont="1" applyBorder="1" applyAlignment="1">
      <alignment vertical="top" wrapText="1"/>
    </xf>
    <xf numFmtId="0" fontId="14" fillId="0" borderId="0" xfId="0" applyFont="1" applyAlignment="1">
      <alignment vertical="top" wrapText="1"/>
    </xf>
    <xf numFmtId="0" fontId="14" fillId="0" borderId="15" xfId="0" applyFont="1" applyBorder="1" applyAlignment="1">
      <alignment vertical="top" wrapText="1"/>
    </xf>
    <xf numFmtId="0" fontId="10" fillId="0" borderId="0" xfId="0" applyFont="1" applyAlignment="1">
      <alignment vertical="top" wrapText="1"/>
    </xf>
    <xf numFmtId="0" fontId="10" fillId="0" borderId="15" xfId="0" applyFont="1" applyBorder="1" applyAlignment="1">
      <alignment vertical="top" wrapText="1"/>
    </xf>
    <xf numFmtId="2" fontId="0" fillId="0" borderId="0" xfId="0" applyNumberFormat="1" applyAlignment="1">
      <alignment horizontal="left" vertical="top"/>
    </xf>
    <xf numFmtId="10" fontId="7" fillId="0" borderId="3" xfId="0" applyNumberFormat="1" applyFont="1" applyBorder="1" applyAlignment="1">
      <alignment vertical="top" wrapText="1"/>
    </xf>
    <xf numFmtId="49" fontId="7" fillId="0" borderId="3" xfId="0" applyNumberFormat="1" applyFont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3"/>
  <sheetViews>
    <sheetView tabSelected="1" topLeftCell="A13" zoomScale="105" workbookViewId="0">
      <selection activeCell="A21" sqref="A21:R21"/>
    </sheetView>
  </sheetViews>
  <sheetFormatPr defaultRowHeight="13" x14ac:dyDescent="0.3"/>
  <cols>
    <col min="1" max="1" width="13.5" customWidth="1"/>
    <col min="2" max="2" width="11.59765625" customWidth="1"/>
    <col min="3" max="3" width="12.09765625" customWidth="1"/>
    <col min="4" max="4" width="12.8984375" customWidth="1"/>
    <col min="5" max="5" width="10.796875" customWidth="1"/>
    <col min="6" max="7" width="10.19921875" customWidth="1"/>
    <col min="8" max="8" width="6.69921875" customWidth="1"/>
    <col min="9" max="9" width="1.796875" customWidth="1"/>
    <col min="10" max="10" width="12.296875" customWidth="1"/>
    <col min="11" max="11" width="12.8984375" customWidth="1"/>
    <col min="12" max="12" width="5.59765625" customWidth="1"/>
    <col min="13" max="13" width="1.796875" customWidth="1"/>
    <col min="14" max="14" width="9.59765625" customWidth="1"/>
    <col min="15" max="15" width="7.296875" customWidth="1"/>
    <col min="16" max="16" width="6" customWidth="1"/>
    <col min="17" max="17" width="3.09765625" customWidth="1"/>
    <col min="18" max="18" width="16.8984375" customWidth="1"/>
  </cols>
  <sheetData>
    <row r="1" spans="1:20" ht="87.75" customHeight="1" x14ac:dyDescent="0.3">
      <c r="A1" s="35" t="s">
        <v>0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7"/>
    </row>
    <row r="2" spans="1:20" ht="17.75" customHeight="1" x14ac:dyDescent="0.3">
      <c r="A2" s="38" t="s">
        <v>1</v>
      </c>
      <c r="B2" s="39"/>
      <c r="C2" s="2" t="s">
        <v>2</v>
      </c>
      <c r="D2" s="1" t="s">
        <v>3</v>
      </c>
      <c r="E2" s="40"/>
      <c r="F2" s="40"/>
      <c r="G2" s="3"/>
      <c r="H2" s="4"/>
      <c r="I2" s="38" t="s">
        <v>4</v>
      </c>
      <c r="J2" s="39"/>
      <c r="K2" s="39"/>
      <c r="L2" s="39"/>
      <c r="M2" s="5" t="s">
        <v>2</v>
      </c>
      <c r="N2" s="39" t="s">
        <v>5</v>
      </c>
      <c r="O2" s="39"/>
      <c r="P2" s="39"/>
      <c r="Q2" s="3"/>
      <c r="R2" s="4"/>
    </row>
    <row r="3" spans="1:20" ht="18" customHeight="1" x14ac:dyDescent="0.3">
      <c r="A3" s="41" t="s">
        <v>6</v>
      </c>
      <c r="B3" s="42"/>
      <c r="C3" s="6" t="s">
        <v>2</v>
      </c>
      <c r="D3" s="7">
        <v>45328</v>
      </c>
      <c r="E3" s="43"/>
      <c r="F3" s="43"/>
      <c r="G3" s="8"/>
      <c r="H3" s="9"/>
      <c r="I3" s="41" t="s">
        <v>7</v>
      </c>
      <c r="J3" s="42"/>
      <c r="K3" s="42"/>
      <c r="L3" s="42"/>
      <c r="M3" s="10" t="s">
        <v>2</v>
      </c>
      <c r="N3" s="42" t="s">
        <v>8</v>
      </c>
      <c r="O3" s="42"/>
      <c r="P3" s="42"/>
      <c r="Q3" s="8"/>
      <c r="R3" s="9"/>
    </row>
    <row r="4" spans="1:20" ht="101.25" customHeight="1" x14ac:dyDescent="0.3">
      <c r="A4" s="44" t="s">
        <v>9</v>
      </c>
      <c r="B4" s="45"/>
      <c r="C4" s="45"/>
      <c r="D4" s="45"/>
      <c r="E4" s="45"/>
      <c r="F4" s="45"/>
      <c r="G4" s="45"/>
      <c r="H4" s="46"/>
      <c r="I4" s="44" t="s">
        <v>10</v>
      </c>
      <c r="J4" s="45"/>
      <c r="K4" s="45"/>
      <c r="L4" s="45"/>
      <c r="M4" s="45"/>
      <c r="N4" s="45"/>
      <c r="O4" s="45"/>
      <c r="P4" s="45"/>
      <c r="Q4" s="45"/>
      <c r="R4" s="46"/>
    </row>
    <row r="5" spans="1:20" ht="35" customHeight="1" x14ac:dyDescent="0.3">
      <c r="A5" s="14" t="s">
        <v>11</v>
      </c>
      <c r="B5" s="47" t="s">
        <v>12</v>
      </c>
      <c r="C5" s="48"/>
      <c r="D5" s="48"/>
      <c r="E5" s="49"/>
      <c r="F5" s="11" t="s">
        <v>13</v>
      </c>
      <c r="G5" s="16" t="s">
        <v>14</v>
      </c>
      <c r="H5" s="47" t="s">
        <v>15</v>
      </c>
      <c r="I5" s="49"/>
      <c r="J5" s="15" t="s">
        <v>39</v>
      </c>
      <c r="K5" s="16" t="s">
        <v>16</v>
      </c>
      <c r="L5" s="50" t="s">
        <v>17</v>
      </c>
      <c r="M5" s="51"/>
      <c r="N5" s="11" t="s">
        <v>18</v>
      </c>
      <c r="O5" s="17" t="s">
        <v>19</v>
      </c>
      <c r="P5" s="44" t="s">
        <v>20</v>
      </c>
      <c r="Q5" s="46"/>
      <c r="R5" s="14" t="s">
        <v>21</v>
      </c>
    </row>
    <row r="6" spans="1:20" ht="18.25" customHeight="1" x14ac:dyDescent="0.3">
      <c r="A6" s="18">
        <v>1</v>
      </c>
      <c r="B6" s="52" t="s">
        <v>22</v>
      </c>
      <c r="C6" s="53"/>
      <c r="D6" s="53"/>
      <c r="E6" s="54"/>
      <c r="F6" s="55"/>
      <c r="G6" s="20">
        <v>1.28</v>
      </c>
      <c r="H6" s="52" t="s">
        <v>23</v>
      </c>
      <c r="I6" s="54"/>
      <c r="J6">
        <f>R6/G6</f>
        <v>950</v>
      </c>
      <c r="K6" s="19">
        <f>(R6/G6)*(1/(1+(L6+O6)))</f>
        <v>904.7619047619047</v>
      </c>
      <c r="L6" s="84">
        <v>2.5000000000000001E-2</v>
      </c>
      <c r="M6" s="85"/>
      <c r="N6" s="20">
        <v>28.95</v>
      </c>
      <c r="O6" s="92">
        <v>2.5000000000000001E-2</v>
      </c>
      <c r="P6" s="58">
        <v>28.95</v>
      </c>
      <c r="Q6" s="59"/>
      <c r="R6" s="21">
        <v>1216</v>
      </c>
    </row>
    <row r="7" spans="1:20" ht="12" customHeight="1" x14ac:dyDescent="0.3">
      <c r="A7" s="22">
        <v>2</v>
      </c>
      <c r="B7" s="60" t="s">
        <v>24</v>
      </c>
      <c r="C7" s="61"/>
      <c r="D7" s="61"/>
      <c r="E7" s="62"/>
      <c r="F7" s="56"/>
      <c r="G7" s="23">
        <v>10.039999999999999</v>
      </c>
      <c r="H7" s="60" t="s">
        <v>23</v>
      </c>
      <c r="I7" s="62"/>
      <c r="J7">
        <f t="shared" ref="J7:J11" si="0">R7/G7</f>
        <v>980.00000000000011</v>
      </c>
      <c r="K7" s="19">
        <f>(R7/G7)*(1/(1+(L7+O7)))</f>
        <v>933.33333333333337</v>
      </c>
      <c r="L7" s="86">
        <v>2.5000000000000001E-2</v>
      </c>
      <c r="M7" s="87"/>
      <c r="N7" s="23">
        <v>234.27</v>
      </c>
      <c r="O7" s="92">
        <v>2.5000000000000001E-2</v>
      </c>
      <c r="P7" s="63">
        <v>234.27</v>
      </c>
      <c r="Q7" s="64"/>
      <c r="R7" s="24">
        <v>9839.2000000000007</v>
      </c>
    </row>
    <row r="8" spans="1:20" ht="12" customHeight="1" x14ac:dyDescent="0.3">
      <c r="A8" s="22">
        <v>3</v>
      </c>
      <c r="B8" s="60" t="s">
        <v>25</v>
      </c>
      <c r="C8" s="61"/>
      <c r="D8" s="61"/>
      <c r="E8" s="62"/>
      <c r="F8" s="56"/>
      <c r="G8" s="23">
        <v>42</v>
      </c>
      <c r="H8" s="60" t="s">
        <v>26</v>
      </c>
      <c r="I8" s="62"/>
      <c r="J8">
        <f t="shared" si="0"/>
        <v>370</v>
      </c>
      <c r="K8" s="19">
        <f>(R8/G8)*(1/(1+(L8+O8)))</f>
        <v>289.0625</v>
      </c>
      <c r="L8" s="88">
        <v>0.14000000000000001</v>
      </c>
      <c r="M8" s="89"/>
      <c r="N8" s="25">
        <v>1699.69</v>
      </c>
      <c r="O8" s="92">
        <v>0.14000000000000001</v>
      </c>
      <c r="P8" s="65">
        <v>1699.69</v>
      </c>
      <c r="Q8" s="66"/>
      <c r="R8" s="24">
        <v>15540</v>
      </c>
      <c r="S8" s="99"/>
      <c r="T8" s="93"/>
    </row>
    <row r="9" spans="1:20" ht="12" customHeight="1" x14ac:dyDescent="0.3">
      <c r="A9" s="22">
        <v>4</v>
      </c>
      <c r="B9" s="60" t="s">
        <v>27</v>
      </c>
      <c r="C9" s="61"/>
      <c r="D9" s="61"/>
      <c r="E9" s="62"/>
      <c r="F9" s="56"/>
      <c r="G9" s="23">
        <v>9</v>
      </c>
      <c r="H9" s="60" t="s">
        <v>23</v>
      </c>
      <c r="I9" s="62"/>
      <c r="J9">
        <f t="shared" si="0"/>
        <v>1300</v>
      </c>
      <c r="K9" s="19">
        <f>(R9/G9)*(1/(1+(L9+O9)))</f>
        <v>1238.0952380952381</v>
      </c>
      <c r="L9" s="86">
        <v>2.5000000000000001E-2</v>
      </c>
      <c r="M9" s="87"/>
      <c r="N9" s="23">
        <v>278.57</v>
      </c>
      <c r="O9" s="92">
        <v>2.5000000000000001E-2</v>
      </c>
      <c r="P9" s="63">
        <v>278.57</v>
      </c>
      <c r="Q9" s="64"/>
      <c r="R9" s="24">
        <v>11700</v>
      </c>
    </row>
    <row r="10" spans="1:20" ht="12" customHeight="1" x14ac:dyDescent="0.3">
      <c r="A10" s="22">
        <v>5</v>
      </c>
      <c r="B10" s="60" t="s">
        <v>28</v>
      </c>
      <c r="C10" s="61"/>
      <c r="D10" s="61"/>
      <c r="E10" s="62"/>
      <c r="F10" s="56"/>
      <c r="G10" s="23">
        <v>12.95</v>
      </c>
      <c r="H10" s="60" t="s">
        <v>29</v>
      </c>
      <c r="I10" s="62"/>
      <c r="J10">
        <f t="shared" si="0"/>
        <v>913.35984555984567</v>
      </c>
      <c r="K10" s="19">
        <f>(R10/G10)*(1/(1+(L10+O10)))</f>
        <v>774.03376742359808</v>
      </c>
      <c r="L10" s="86">
        <v>0.09</v>
      </c>
      <c r="M10" s="87"/>
      <c r="N10" s="23">
        <v>902.14</v>
      </c>
      <c r="O10" s="92">
        <v>0.09</v>
      </c>
      <c r="P10" s="63">
        <v>902.14</v>
      </c>
      <c r="Q10" s="64"/>
      <c r="R10" s="24">
        <v>11828.01</v>
      </c>
    </row>
    <row r="11" spans="1:20" ht="138.25" customHeight="1" x14ac:dyDescent="0.3">
      <c r="A11" s="26">
        <v>6</v>
      </c>
      <c r="B11" s="67" t="s">
        <v>30</v>
      </c>
      <c r="C11" s="68"/>
      <c r="D11" s="68"/>
      <c r="E11" s="69"/>
      <c r="F11" s="57"/>
      <c r="G11" s="27">
        <v>5</v>
      </c>
      <c r="H11" s="67" t="s">
        <v>23</v>
      </c>
      <c r="I11" s="69"/>
      <c r="J11">
        <f t="shared" si="0"/>
        <v>174.41</v>
      </c>
      <c r="K11" s="19">
        <f>(R11/G11)*(1/(1+(L11+O11)))</f>
        <v>166.10476190476189</v>
      </c>
      <c r="L11" s="90">
        <v>2.5000000000000001E-2</v>
      </c>
      <c r="M11" s="91"/>
      <c r="N11" s="27">
        <v>20.76</v>
      </c>
      <c r="O11" s="92">
        <v>2.5000000000000001E-2</v>
      </c>
      <c r="P11" s="70">
        <v>20.76</v>
      </c>
      <c r="Q11" s="71"/>
      <c r="R11" s="28">
        <v>872.05</v>
      </c>
    </row>
    <row r="12" spans="1:20" ht="35.75" customHeight="1" x14ac:dyDescent="0.3">
      <c r="A12" s="44"/>
      <c r="B12" s="45"/>
      <c r="C12" s="12"/>
      <c r="D12" s="12"/>
      <c r="E12" s="45"/>
      <c r="F12" s="45"/>
      <c r="G12" s="12"/>
      <c r="H12" s="72" t="s">
        <v>31</v>
      </c>
      <c r="I12" s="72"/>
      <c r="J12" s="72"/>
      <c r="K12" s="72"/>
      <c r="L12" s="72"/>
      <c r="M12" s="12"/>
      <c r="N12" s="113" t="s">
        <v>46</v>
      </c>
      <c r="O12" s="112">
        <v>1.7999999999999999E-2</v>
      </c>
      <c r="P12" s="95"/>
      <c r="Q12" s="13"/>
      <c r="R12" s="98">
        <f>R6+R7+R8+R9+R10+R11</f>
        <v>50995.26</v>
      </c>
    </row>
    <row r="13" spans="1:20" ht="35.75" customHeight="1" x14ac:dyDescent="0.3">
      <c r="A13" s="32"/>
      <c r="B13" s="33"/>
      <c r="C13" s="33"/>
      <c r="D13" s="33"/>
      <c r="E13" s="33"/>
      <c r="F13" s="33"/>
      <c r="G13" s="33"/>
      <c r="H13" s="96"/>
      <c r="I13" s="96"/>
      <c r="J13" s="96"/>
      <c r="K13" s="96"/>
      <c r="L13" s="96"/>
      <c r="M13" s="33"/>
      <c r="N13" s="97"/>
      <c r="O13" s="97"/>
      <c r="P13" s="97"/>
      <c r="Q13" s="34"/>
      <c r="R13" s="94">
        <f>R12*O12</f>
        <v>917.91467999999998</v>
      </c>
    </row>
    <row r="14" spans="1:20" ht="22" customHeight="1" x14ac:dyDescent="0.3">
      <c r="A14" s="73"/>
      <c r="B14" s="40"/>
      <c r="C14" s="3"/>
      <c r="D14" s="3"/>
      <c r="E14" s="74" t="s">
        <v>32</v>
      </c>
      <c r="F14" s="74"/>
      <c r="G14" s="29">
        <f>SUM(G6,G7,G8,G9,G10,G11)</f>
        <v>80.27</v>
      </c>
      <c r="H14" s="74" t="s">
        <v>33</v>
      </c>
      <c r="I14" s="74"/>
      <c r="J14" s="74"/>
      <c r="K14" s="74"/>
      <c r="L14" s="74"/>
      <c r="M14" s="3"/>
      <c r="N14" s="40"/>
      <c r="O14" s="40"/>
      <c r="P14" s="40"/>
      <c r="Q14" s="30" t="s">
        <v>34</v>
      </c>
      <c r="R14" s="31">
        <f>R12-R13</f>
        <v>50077.34532</v>
      </c>
    </row>
    <row r="15" spans="1:20" s="100" customFormat="1" ht="17.75" customHeight="1" x14ac:dyDescent="0.3">
      <c r="A15" s="105" t="s">
        <v>44</v>
      </c>
      <c r="B15" s="105" t="s">
        <v>40</v>
      </c>
      <c r="C15" s="105" t="s">
        <v>41</v>
      </c>
      <c r="D15" s="105" t="s">
        <v>42</v>
      </c>
      <c r="E15" s="105" t="s">
        <v>43</v>
      </c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6"/>
    </row>
    <row r="16" spans="1:20" ht="12" customHeight="1" x14ac:dyDescent="0.3">
      <c r="A16" s="93" cm="1">
        <f t="array" ref="A16:A18">_xlfn.LET(
  _xlpm.rates, ROUND((L6:L11 + O6:O11)*100, 0)/100,
  _xlfn._xlws.SORT(_xlfn.UNIQUE(_xlpm.rates))
)</f>
        <v>0.05</v>
      </c>
      <c r="B16" cm="1">
        <f t="array" ref="B16">SUMPRODUCT( (ROUND(( $L$6:$L$11 + $O$6:$O$11 )*100,0)/100 = A16) * $K$6:$K$11 * $G$6:$G$11 )</f>
        <v>22502.142857142855</v>
      </c>
      <c r="C16" cm="1">
        <f t="array" ref="C16">SUMPRODUCT( (ROUND(( $L$6:$L$11 + $O$6:$O$11 )*100,0)/100 = A16) * $N$6:$N$11 )</f>
        <v>562.54999999999995</v>
      </c>
      <c r="D16" cm="1">
        <f t="array" ref="D16">SUMPRODUCT( (ROUND(( $L$6:$L$11 + $O$6:$O$11 )*100,0)/100 = A16) * $P$6:$P$11 )</f>
        <v>562.54999999999995</v>
      </c>
      <c r="E16" s="111">
        <f>C16+D16</f>
        <v>1125.0999999999999</v>
      </c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8"/>
    </row>
    <row r="17" spans="1:18" ht="12" customHeight="1" x14ac:dyDescent="0.3">
      <c r="A17" s="93">
        <v>0.18</v>
      </c>
      <c r="B17" cm="1">
        <f t="array" ref="B17">SUMPRODUCT( (ROUND(( $L$6:$L$11 + $O$6:$O$11 )*100,0)/100 = A17) * $K$6:$K$11 * $G$6:$G$11 )</f>
        <v>10023.737288135595</v>
      </c>
      <c r="C17" cm="1">
        <f t="array" ref="C17">SUMPRODUCT( (ROUND(( $L$6:$L$11 + $O$6:$O$11 )*100,0)/100 = A17) * $N$6:$N$11 )</f>
        <v>902.14</v>
      </c>
      <c r="D17" cm="1">
        <f t="array" ref="D17">SUMPRODUCT( (ROUND(( $L$6:$L$11 + $O$6:$O$11 )*100,0)/100 = A17) * $P$6:$P$11 )</f>
        <v>902.14</v>
      </c>
      <c r="E17" s="111">
        <f t="shared" ref="E17:E18" si="1">C17+D17</f>
        <v>1804.28</v>
      </c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8"/>
    </row>
    <row r="18" spans="1:18" ht="12" customHeight="1" x14ac:dyDescent="0.3">
      <c r="A18" s="93">
        <v>0.28000000000000003</v>
      </c>
      <c r="B18" cm="1">
        <f t="array" ref="B18">SUMPRODUCT( (ROUND(( $L$6:$L$11 + $O$6:$O$11 )*100,0)/100 = A18) * $K$6:$K$11 * $G$6:$G$11 )</f>
        <v>12140.625</v>
      </c>
      <c r="C18" cm="1">
        <f t="array" ref="C18">SUMPRODUCT( (ROUND(( $L$6:$L$11 + $O$6:$O$11 )*100,0)/100 = A18) * $N$6:$N$11 )</f>
        <v>1699.69</v>
      </c>
      <c r="D18" cm="1">
        <f t="array" ref="D18">SUMPRODUCT( (ROUND(( $L$6:$L$11 + $O$6:$O$11 )*100,0)/100 = A18) * $P$6:$P$11 )</f>
        <v>1699.69</v>
      </c>
      <c r="E18" s="111">
        <f t="shared" si="1"/>
        <v>3399.38</v>
      </c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8"/>
    </row>
    <row r="19" spans="1:18" ht="40" customHeight="1" x14ac:dyDescent="0.3">
      <c r="A19" s="104" t="s">
        <v>45</v>
      </c>
      <c r="B19" s="109">
        <f>SUM(B16:B18)</f>
        <v>44666.505145278454</v>
      </c>
      <c r="C19" s="109">
        <f t="shared" ref="C19:E19" si="2">SUM(C16:C18)</f>
        <v>3164.38</v>
      </c>
      <c r="D19" s="109">
        <f t="shared" si="2"/>
        <v>3164.38</v>
      </c>
      <c r="E19" s="109">
        <f t="shared" si="2"/>
        <v>6328.76</v>
      </c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10"/>
    </row>
    <row r="20" spans="1:18" ht="25" customHeight="1" x14ac:dyDescent="0.3">
      <c r="A20" s="101" t="str" cm="1">
        <f t="array" ref="A20">SpellNumber(R14)</f>
        <v>Rupees Fifty Thousand Seventy Seven Only</v>
      </c>
      <c r="B20" s="102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3"/>
    </row>
    <row r="21" spans="1:18" ht="35.75" customHeight="1" x14ac:dyDescent="0.3">
      <c r="A21" s="44" t="s">
        <v>35</v>
      </c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6"/>
    </row>
    <row r="22" spans="1:18" ht="34" customHeight="1" x14ac:dyDescent="0.3">
      <c r="A22" s="75" t="s">
        <v>36</v>
      </c>
      <c r="B22" s="76"/>
      <c r="C22" s="76"/>
      <c r="D22" s="76"/>
      <c r="E22" s="76"/>
      <c r="F22" s="76"/>
      <c r="G22" s="77"/>
      <c r="H22" s="44" t="s">
        <v>37</v>
      </c>
      <c r="I22" s="45"/>
      <c r="J22" s="45"/>
      <c r="K22" s="45"/>
      <c r="L22" s="45"/>
      <c r="M22" s="45"/>
      <c r="N22" s="45"/>
      <c r="O22" s="45"/>
      <c r="P22" s="45"/>
      <c r="Q22" s="45"/>
      <c r="R22" s="46"/>
    </row>
    <row r="23" spans="1:18" ht="59.5" customHeight="1" x14ac:dyDescent="0.3">
      <c r="A23" s="78"/>
      <c r="B23" s="79"/>
      <c r="C23" s="79"/>
      <c r="D23" s="79"/>
      <c r="E23" s="79"/>
      <c r="F23" s="79"/>
      <c r="G23" s="80"/>
      <c r="H23" s="81" t="s">
        <v>38</v>
      </c>
      <c r="I23" s="82"/>
      <c r="J23" s="82"/>
      <c r="K23" s="82"/>
      <c r="L23" s="82"/>
      <c r="M23" s="82"/>
      <c r="N23" s="82"/>
      <c r="O23" s="82"/>
      <c r="P23" s="82"/>
      <c r="Q23" s="82"/>
      <c r="R23" s="83"/>
    </row>
  </sheetData>
  <mergeCells count="52">
    <mergeCell ref="A20:R20"/>
    <mergeCell ref="A21:R21"/>
    <mergeCell ref="A22:G23"/>
    <mergeCell ref="H22:R22"/>
    <mergeCell ref="H23:R23"/>
    <mergeCell ref="A12:B12"/>
    <mergeCell ref="E12:F12"/>
    <mergeCell ref="H12:L12"/>
    <mergeCell ref="A14:B14"/>
    <mergeCell ref="E14:F14"/>
    <mergeCell ref="H14:L14"/>
    <mergeCell ref="N14:P14"/>
    <mergeCell ref="B10:E10"/>
    <mergeCell ref="H10:I10"/>
    <mergeCell ref="L10:M10"/>
    <mergeCell ref="P10:Q10"/>
    <mergeCell ref="B11:E11"/>
    <mergeCell ref="H11:I11"/>
    <mergeCell ref="L11:M11"/>
    <mergeCell ref="P11:Q11"/>
    <mergeCell ref="P8:Q8"/>
    <mergeCell ref="B9:E9"/>
    <mergeCell ref="H9:I9"/>
    <mergeCell ref="L9:M9"/>
    <mergeCell ref="P9:Q9"/>
    <mergeCell ref="B5:E5"/>
    <mergeCell ref="H5:I5"/>
    <mergeCell ref="L5:M5"/>
    <mergeCell ref="P5:Q5"/>
    <mergeCell ref="B6:E6"/>
    <mergeCell ref="F6:F11"/>
    <mergeCell ref="H6:I6"/>
    <mergeCell ref="L6:M6"/>
    <mergeCell ref="P6:Q6"/>
    <mergeCell ref="B7:E7"/>
    <mergeCell ref="H7:I7"/>
    <mergeCell ref="L7:M7"/>
    <mergeCell ref="P7:Q7"/>
    <mergeCell ref="B8:E8"/>
    <mergeCell ref="H8:I8"/>
    <mergeCell ref="L8:M8"/>
    <mergeCell ref="A3:B3"/>
    <mergeCell ref="E3:F3"/>
    <mergeCell ref="I3:L3"/>
    <mergeCell ref="N3:P3"/>
    <mergeCell ref="A4:H4"/>
    <mergeCell ref="I4:R4"/>
    <mergeCell ref="A1:R1"/>
    <mergeCell ref="A2:B2"/>
    <mergeCell ref="E2:F2"/>
    <mergeCell ref="I2:L2"/>
    <mergeCell ref="N2:P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Subin S K</dc:creator>
  <cp:lastModifiedBy>Subin S K</cp:lastModifiedBy>
  <dcterms:created xsi:type="dcterms:W3CDTF">2025-09-21T12:54:58Z</dcterms:created>
  <dcterms:modified xsi:type="dcterms:W3CDTF">2025-09-22T08:47:41Z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">
    <vt:filetime>2024-07-01T00:00:00Z</vt:filetime>
  </property>
  <property fmtid="{D5CDD505-2E9C-101B-9397-08002B2CF9AE}" pid="3" name="Producer">
    <vt:lpwstr>Synactis All In-The-Box version 3.12</vt:lpwstr>
  </property>
  <property fmtid="{D5CDD505-2E9C-101B-9397-08002B2CF9AE}" pid="4" name="LastSaved">
    <vt:filetime>2024-07-01T00:00:00Z</vt:filetime>
  </property>
</Properties>
</file>